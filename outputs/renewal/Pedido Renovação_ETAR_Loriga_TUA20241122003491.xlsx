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nf para requerimento" sheetId="1" state="visible" r:id="rId1"/>
    <sheet xmlns:r="http://schemas.openxmlformats.org/officeDocument/2006/relationships" name="Auxiliar_DO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Gill Sans MT"/>
      <family val="2"/>
      <color theme="1"/>
      <sz val="11"/>
    </font>
    <font>
      <name val="Gill Sans MT"/>
      <family val="2"/>
      <b val="1"/>
      <color theme="1"/>
      <sz val="11"/>
    </font>
    <font>
      <name val="Gill Sans MT"/>
      <family val="2"/>
      <color theme="0" tint="-0.499984740745262"/>
      <sz val="11"/>
    </font>
    <font>
      <name val="Gill Sans MT"/>
      <family val="2"/>
      <color theme="0" tint="-0.499984740745262"/>
      <sz val="8"/>
    </font>
    <font>
      <name val="Gill Sans MT"/>
      <family val="2"/>
      <b val="1"/>
      <color theme="1"/>
      <sz val="12"/>
    </font>
    <font>
      <name val="Gill Sans MT"/>
      <family val="2"/>
      <b val="1"/>
      <color theme="0" tint="-0.499984740745262"/>
      <sz val="11"/>
    </font>
    <font>
      <name val="Gill Sans MT"/>
      <family val="2"/>
      <b val="1"/>
      <color theme="1" tint="0.0499893185216834"/>
      <sz val="10"/>
    </font>
    <font>
      <name val="Gill Sans MT"/>
      <family val="2"/>
      <color theme="1"/>
      <sz val="10"/>
    </font>
    <font>
      <name val="Gill Sans MT"/>
      <family val="2"/>
      <b val="1"/>
      <color theme="1"/>
      <sz val="10"/>
    </font>
    <font>
      <name val="Gill Sans MT"/>
      <family val="2"/>
      <b val="1"/>
      <color theme="1" tint="0.0499893185216834"/>
      <sz val="8"/>
    </font>
    <font>
      <name val="Gill Sans MT"/>
      <family val="2"/>
      <color theme="1"/>
      <sz val="11"/>
      <vertAlign val="subscript"/>
    </font>
    <font>
      <name val="Gill Sans MT"/>
      <family val="2"/>
      <color theme="1"/>
      <sz val="11"/>
      <vertAlign val="superscript"/>
    </font>
    <font>
      <name val="Gill Sans MT"/>
      <family val="2"/>
      <i val="1"/>
      <color theme="1"/>
      <sz val="11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3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3" fontId="8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10" fillId="2" borderId="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/>
    </xf>
    <xf numFmtId="3" fontId="5" fillId="2" borderId="3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1" fillId="2" borderId="2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3" fontId="3" fillId="4" borderId="4" applyAlignment="1" pivotButton="0" quotePrefix="1" xfId="0">
      <alignment horizontal="center" vertical="center"/>
    </xf>
    <xf numFmtId="3" fontId="3" fillId="4" borderId="4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1" fillId="3" borderId="3" applyAlignment="1" pivotButton="0" quotePrefix="0" xfId="0">
      <alignment vertical="center"/>
    </xf>
    <xf numFmtId="0" fontId="3" fillId="4" borderId="4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3" fontId="3" fillId="4" borderId="6" applyAlignment="1" pivotButton="0" quotePrefix="0" xfId="0">
      <alignment horizontal="center" vertical="center"/>
    </xf>
    <xf numFmtId="0" fontId="13" fillId="3" borderId="3" applyAlignment="1" pivotButton="0" quotePrefix="0" xfId="0">
      <alignment horizontal="right" vertical="center"/>
    </xf>
    <xf numFmtId="0" fontId="13" fillId="3" borderId="3" applyAlignment="1" pivotButton="0" quotePrefix="0" xfId="0">
      <alignment horizontal="center" vertical="center"/>
    </xf>
    <xf numFmtId="0" fontId="2" fillId="3" borderId="3" applyAlignment="1" pivotButton="0" quotePrefix="0" xfId="0">
      <alignment vertical="center"/>
    </xf>
    <xf numFmtId="0" fontId="3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vertical="center"/>
    </xf>
    <xf numFmtId="0" fontId="3" fillId="4" borderId="6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 wrapText="1"/>
    </xf>
    <xf numFmtId="0" fontId="1" fillId="5" borderId="3" applyAlignment="1" pivotButton="0" quotePrefix="0" xfId="0">
      <alignment vertical="center"/>
    </xf>
    <xf numFmtId="3" fontId="3" fillId="5" borderId="4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/>
    </xf>
    <xf numFmtId="3" fontId="3" fillId="0" borderId="6" applyAlignment="1" pivotButton="0" quotePrefix="0" xfId="0">
      <alignment horizontal="center" vertical="center"/>
    </xf>
    <xf numFmtId="1" fontId="3" fillId="5" borderId="4" applyAlignment="1" pivotButton="0" quotePrefix="0" xfId="0">
      <alignment horizontal="center" vertical="center"/>
    </xf>
    <xf numFmtId="0" fontId="3" fillId="4" borderId="7" applyAlignment="1" pivotButton="0" quotePrefix="0" xfId="0">
      <alignment horizontal="right" vertical="center"/>
    </xf>
    <xf numFmtId="0" fontId="3" fillId="4" borderId="8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 wrapText="1"/>
    </xf>
    <xf numFmtId="0" fontId="3" fillId="4" borderId="9" applyAlignment="1" pivotButton="0" quotePrefix="0" xfId="0">
      <alignment horizontal="right" vertical="center"/>
    </xf>
    <xf numFmtId="0" fontId="0" fillId="0" borderId="8" pivotButton="0" quotePrefix="0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57"/>
  <sheetViews>
    <sheetView showGridLines="0" tabSelected="1" zoomScale="90" zoomScaleNormal="90" workbookViewId="0">
      <selection activeCell="B41" sqref="B41:C41"/>
    </sheetView>
  </sheetViews>
  <sheetFormatPr baseColWidth="8" defaultColWidth="8.85546875" defaultRowHeight="18"/>
  <cols>
    <col width="3.140625" customWidth="1" style="12" min="1" max="1"/>
    <col width="57.5703125" customWidth="1" style="12" min="2" max="2"/>
    <col width="43.7109375" customWidth="1" style="13" min="3" max="3"/>
    <col width="84" customWidth="1" style="14" min="4" max="4"/>
    <col width="8.85546875" customWidth="1" style="12" min="5" max="16384"/>
  </cols>
  <sheetData>
    <row r="1" ht="7.9" customHeight="1">
      <c r="C1" t="inlineStr">
        <is>
          <t>ETAR Loriga  |  TUA20241122003491  |  TUA  |  Validade: 31/12/2026</t>
        </is>
      </c>
    </row>
    <row r="2" ht="19.15" customHeight="1">
      <c r="B2" s="15" t="inlineStr">
        <is>
          <t>Informação necessária para submeter o requerimento de rejeição de águas residuais</t>
        </is>
      </c>
      <c r="C2" s="16" t="n"/>
    </row>
    <row r="3" ht="10.9" customHeight="1"/>
    <row r="4">
      <c r="B4" s="17" t="inlineStr">
        <is>
          <t>EXP8.3.5 - Caracterização Geral - ETAR Urbana/Doméstica</t>
        </is>
      </c>
      <c r="C4" s="18" t="n"/>
      <c r="D4" s="14" t="inlineStr">
        <is>
          <t>Pressupostos</t>
        </is>
      </c>
    </row>
    <row r="5">
      <c r="B5" s="19" t="inlineStr">
        <is>
          <t>Localização geográfica</t>
        </is>
      </c>
      <c r="C5" s="20" t="n"/>
    </row>
    <row r="6">
      <c r="B6" s="3" t="inlineStr">
        <is>
          <t>Morada</t>
        </is>
      </c>
      <c r="C6" s="21" t="inlineStr">
        <is>
          <t>Em falta</t>
        </is>
      </c>
    </row>
    <row r="7">
      <c r="B7" s="3" t="inlineStr">
        <is>
          <t>Início de exploração (dia-mês-ano)</t>
        </is>
      </c>
      <c r="C7" s="21" t="inlineStr">
        <is>
          <t>1985</t>
        </is>
      </c>
    </row>
    <row r="8">
      <c r="B8" s="3" t="inlineStr">
        <is>
          <t xml:space="preserve">   Longitude</t>
        </is>
      </c>
      <c r="C8" s="21" t="inlineStr">
        <is>
          <t>-7,693739</t>
        </is>
      </c>
    </row>
    <row r="9">
      <c r="B9" s="3" t="inlineStr">
        <is>
          <t xml:space="preserve">   Latitude</t>
        </is>
      </c>
      <c r="C9" s="22" t="inlineStr">
        <is>
          <t>40,319956</t>
        </is>
      </c>
    </row>
    <row r="10">
      <c r="B10" s="3" t="inlineStr">
        <is>
          <t>Designação da instalação</t>
        </is>
      </c>
      <c r="C10" s="23" t="inlineStr">
        <is>
          <t>ETAR Loriga</t>
        </is>
      </c>
      <c r="D10" s="14" t="inlineStr">
        <is>
          <t>Designação de cadastro</t>
        </is>
      </c>
    </row>
    <row r="11">
      <c r="B11" s="24" t="inlineStr">
        <is>
          <t>Distrito</t>
        </is>
      </c>
      <c r="C11" s="25" t="inlineStr">
        <is>
          <t>Em falta</t>
        </is>
      </c>
    </row>
    <row r="12">
      <c r="B12" s="24" t="inlineStr">
        <is>
          <t>Concelho</t>
        </is>
      </c>
      <c r="C12" s="25" t="inlineStr">
        <is>
          <t>Seia</t>
        </is>
      </c>
    </row>
    <row r="13">
      <c r="B13" s="24" t="inlineStr">
        <is>
          <t>Freguesia</t>
        </is>
      </c>
      <c r="C13" s="25" t="inlineStr">
        <is>
          <t>Loriga</t>
        </is>
      </c>
    </row>
    <row r="14">
      <c r="B14" s="3" t="inlineStr">
        <is>
          <t>Ano de arranque</t>
        </is>
      </c>
      <c r="C14" s="22" t="inlineStr">
        <is>
          <t>2014</t>
        </is>
      </c>
    </row>
    <row r="15">
      <c r="B15" s="35" t="inlineStr">
        <is>
          <t>População servida à data do pedido (ep)</t>
        </is>
      </c>
      <c r="C15" s="36" t="n"/>
      <c r="D15" s="37" t="inlineStr">
        <is>
          <t>média dos 5 anos anteriores</t>
        </is>
      </c>
    </row>
    <row r="16">
      <c r="B16" s="3" t="inlineStr">
        <is>
          <t>Ano horizonte de projeto</t>
        </is>
      </c>
      <c r="C16" s="22" t="inlineStr">
        <is>
          <t>2038</t>
        </is>
      </c>
    </row>
    <row r="17">
      <c r="B17" s="3" t="inlineStr">
        <is>
          <t>População servida no ano horizonte de projeto (ep)</t>
        </is>
      </c>
      <c r="C17" s="22" t="n"/>
      <c r="D17" s="14" t="inlineStr">
        <is>
          <t>Pop Eq de projeto</t>
        </is>
      </c>
    </row>
    <row r="18">
      <c r="B18" s="3" t="inlineStr">
        <is>
          <t>Nível de tratamento implementado</t>
        </is>
      </c>
      <c r="C18" s="25" t="inlineStr">
        <is>
          <t>Secundário</t>
        </is>
      </c>
      <c r="D18" s="14" t="inlineStr">
        <is>
          <t>Primário/Secundário/Terciário/Avançado</t>
        </is>
      </c>
    </row>
    <row r="19" ht="51.6" customHeight="1">
      <c r="B19" s="3" t="inlineStr">
        <is>
          <t>Esquema de tratamento</t>
        </is>
      </c>
      <c r="C19" s="34" t="inlineStr">
        <is>
          <t>Sistema de tratamento por lamas ativadas em regime de arejamento prolongado</t>
        </is>
      </c>
      <c r="D19" s="4" t="inlineStr">
        <is>
          <t>Sistema de Lagunagem - LAN, LF e LM
Sistema de Lamas Ativadas - xxxx</t>
        </is>
      </c>
    </row>
    <row r="20">
      <c r="B20" s="3" t="inlineStr">
        <is>
          <t>Área (ha)</t>
        </is>
      </c>
      <c r="C20" s="34" t="inlineStr">
        <is>
          <t>Em falta</t>
        </is>
      </c>
      <c r="D20" s="4" t="n"/>
    </row>
    <row r="21" ht="19.9" customHeight="1">
      <c r="B21" s="26" t="inlineStr">
        <is>
          <t>Caudal máximo de descarga (m3/dia)</t>
        </is>
      </c>
      <c r="C21" s="38" t="n"/>
      <c r="D21" s="14" t="inlineStr">
        <is>
          <t>Caudal médio diário constante no projeto (no caso de existir caudal tempo seco e caudal tempo humido, deve ser considerado o Q tempo humido)</t>
        </is>
      </c>
    </row>
    <row r="22"/>
    <row r="23">
      <c r="B23" s="17" t="inlineStr">
        <is>
          <t>EXP8.3.7 - Caracterização - Rejeição de águas residuais</t>
        </is>
      </c>
      <c r="C23" s="18" t="n"/>
    </row>
    <row r="24">
      <c r="B24" s="24" t="inlineStr">
        <is>
          <t>Esta utilização encontra-se associada a um projeto financiado</t>
        </is>
      </c>
      <c r="C24" s="25" t="n"/>
    </row>
    <row r="25">
      <c r="B25" s="28" t="inlineStr">
        <is>
          <t>Se "sim" na resposta anterior, qual:</t>
        </is>
      </c>
      <c r="C25" s="25" t="n"/>
    </row>
    <row r="26" ht="40.9" customHeight="1">
      <c r="B26" s="29" t="inlineStr">
        <is>
          <t>Comentários, caso necessários, para justificar o financiamento:</t>
        </is>
      </c>
      <c r="C26" s="25" t="n"/>
    </row>
    <row r="27">
      <c r="B27" s="3" t="inlineStr">
        <is>
          <t>Designação do ponto de rejeição</t>
        </is>
      </c>
      <c r="C27" s="25" t="inlineStr">
        <is>
          <t>Em falta</t>
        </is>
      </c>
    </row>
    <row r="28">
      <c r="B28" s="3" t="inlineStr">
        <is>
          <t>Meio recetor</t>
        </is>
      </c>
      <c r="C28" s="25" t="inlineStr">
        <is>
          <t>Em falta</t>
        </is>
      </c>
      <c r="D28" s="14" t="inlineStr">
        <is>
          <t>Rio/Ribeira/Ribeiro/Barranco/Albufeira/Lagoa/Estuário/Águas Costeiras/Solo</t>
        </is>
      </c>
    </row>
    <row r="29">
      <c r="B29" s="3" t="inlineStr">
        <is>
          <t>Denominação do meio recetor</t>
        </is>
      </c>
      <c r="C29" s="25" t="inlineStr">
        <is>
          <t>PT04MON0634 :: Ribeira de Loriga</t>
        </is>
      </c>
    </row>
    <row r="30">
      <c r="B30" s="24" t="inlineStr">
        <is>
          <t>Margem</t>
        </is>
      </c>
      <c r="C30" s="25" t="inlineStr">
        <is>
          <t>Em falta</t>
        </is>
      </c>
      <c r="D30" s="14" t="inlineStr">
        <is>
          <t>Margem / Margem direita / Margem esquerda / Plano de água</t>
        </is>
      </c>
    </row>
    <row r="31">
      <c r="B31" s="3" t="inlineStr">
        <is>
          <t>Sistema de descarga</t>
        </is>
      </c>
      <c r="C31" s="25" t="inlineStr">
        <is>
          <t>Em falta</t>
        </is>
      </c>
      <c r="D31" s="14" t="inlineStr">
        <is>
          <t>Coletor com obra de proteção (boca de lobo)/Coletor sem obra de proteção/Emissário submarino/Orgão de infiltração/Vala/Outro</t>
        </is>
      </c>
    </row>
    <row r="32" ht="19.9" customHeight="1">
      <c r="B32" s="3" t="inlineStr">
        <is>
          <t>Volume anual descarregado (m3)</t>
        </is>
      </c>
      <c r="C32" s="25" t="n"/>
      <c r="D32" s="14" t="inlineStr">
        <is>
          <t>Qmd Hp_tempo seco x 30 x 6 + Qmd Hp_tempo húmido x 30 x 6 . Na ausência de um dos termos usamos Qmd HP x 365</t>
        </is>
      </c>
    </row>
    <row r="33">
      <c r="B33" s="24" t="inlineStr">
        <is>
          <t>Distrito</t>
        </is>
      </c>
      <c r="C33" s="25" t="inlineStr">
        <is>
          <t>Em falta</t>
        </is>
      </c>
    </row>
    <row r="34">
      <c r="B34" s="24" t="inlineStr">
        <is>
          <t>Concelho</t>
        </is>
      </c>
      <c r="C34" s="25" t="inlineStr">
        <is>
          <t>Seia</t>
        </is>
      </c>
      <c r="D34" s="12" t="n"/>
    </row>
    <row r="35">
      <c r="B35" s="24" t="inlineStr">
        <is>
          <t>Freguesia</t>
        </is>
      </c>
      <c r="C35" s="25" t="inlineStr">
        <is>
          <t>Loriga</t>
        </is>
      </c>
      <c r="D35" s="12" t="n"/>
    </row>
    <row r="36">
      <c r="B36" s="30" t="inlineStr">
        <is>
          <t>Localização geográfica</t>
        </is>
      </c>
      <c r="C36" s="31" t="n"/>
      <c r="D36" s="12" t="n"/>
    </row>
    <row r="37">
      <c r="B37" s="24" t="inlineStr">
        <is>
          <t xml:space="preserve">   Longitude</t>
        </is>
      </c>
      <c r="C37" s="22" t="inlineStr">
        <is>
          <t>-7,693739</t>
        </is>
      </c>
      <c r="D37" s="12" t="n"/>
    </row>
    <row r="38">
      <c r="B38" s="32" t="inlineStr">
        <is>
          <t xml:space="preserve">   Latitude</t>
        </is>
      </c>
      <c r="C38" s="27" t="inlineStr">
        <is>
          <t>40,319956</t>
        </is>
      </c>
      <c r="D38" s="12" t="n"/>
    </row>
    <row r="39">
      <c r="D39" s="12" t="n"/>
    </row>
    <row r="40">
      <c r="B40" s="17" t="inlineStr">
        <is>
          <t>EXP8.3.8 - Características do Afluente Bruto</t>
        </is>
      </c>
      <c r="C40" s="18" t="n"/>
    </row>
    <row r="41" ht="19.9" customHeight="1">
      <c r="B41" s="35" t="inlineStr">
        <is>
          <t>Volume médio mensal (m3)</t>
        </is>
      </c>
      <c r="C41" s="39" t="n"/>
      <c r="D41" s="37" t="inlineStr">
        <is>
          <t>(Qmd Hp_tempo seco x 30 + Qmd Hp_tempo húmido x 30) / 12 . Na ausência de um dos termos usamos (Qmd HP x 365) /12</t>
        </is>
      </c>
    </row>
    <row r="42">
      <c r="B42" s="3" t="inlineStr">
        <is>
          <t>CBO5 (mg/L O2)</t>
        </is>
      </c>
      <c r="C42" s="25" t="inlineStr">
        <is>
          <t>Em falta</t>
        </is>
      </c>
      <c r="D42" s="14" t="inlineStr">
        <is>
          <t>Manter o projeto/REAR</t>
        </is>
      </c>
    </row>
    <row r="43">
      <c r="B43" s="3" t="inlineStr">
        <is>
          <t>CQO (mg/L O2)</t>
        </is>
      </c>
      <c r="C43" s="25" t="inlineStr">
        <is>
          <t>Em falta</t>
        </is>
      </c>
      <c r="D43" s="14" t="inlineStr">
        <is>
          <t>Manter o projeto/REAR</t>
        </is>
      </c>
    </row>
    <row r="44">
      <c r="B44" s="3" t="inlineStr">
        <is>
          <t>N (mg/L N)</t>
        </is>
      </c>
      <c r="C44" s="25" t="inlineStr">
        <is>
          <t>Em falta</t>
        </is>
      </c>
      <c r="D44" s="14" t="inlineStr">
        <is>
          <t>Manter o projeto/REAR</t>
        </is>
      </c>
    </row>
    <row r="45">
      <c r="B45" s="26" t="inlineStr">
        <is>
          <t>P (mg/L P)</t>
        </is>
      </c>
      <c r="C45" s="33" t="inlineStr">
        <is>
          <t>Em falta</t>
        </is>
      </c>
      <c r="D45" s="14" t="inlineStr">
        <is>
          <t>Manter o projeto/REAR</t>
        </is>
      </c>
    </row>
    <row r="46"/>
    <row r="47">
      <c r="B47" s="17" t="inlineStr">
        <is>
          <t>EXP8.3.11 - Caracterização - Rejeição de águas residuais - Origem das águas residuais</t>
        </is>
      </c>
      <c r="C47" s="18" t="n"/>
    </row>
    <row r="48">
      <c r="B48" s="3" t="inlineStr">
        <is>
          <t>Tipo</t>
        </is>
      </c>
      <c r="C48" s="25" t="inlineStr">
        <is>
          <t>Em falta</t>
        </is>
      </c>
      <c r="D48" s="14" t="inlineStr">
        <is>
          <t>Urbanas/Domésticas/Industriais/Agropecuárias/Outras</t>
        </is>
      </c>
    </row>
    <row r="49">
      <c r="B49" s="3" t="inlineStr">
        <is>
          <t>Origens</t>
        </is>
      </c>
      <c r="C49" s="25" t="inlineStr">
        <is>
          <t>Em falta</t>
        </is>
      </c>
      <c r="D49" s="14" t="inlineStr">
        <is>
          <t>Não encontrei nenhum TUA, Alentejo e Beiras, com esta informação preenchida</t>
        </is>
      </c>
    </row>
    <row r="50">
      <c r="B50" s="26" t="inlineStr">
        <is>
          <t>Instalação de tratamento</t>
        </is>
      </c>
      <c r="C50" s="33" t="inlineStr">
        <is>
          <t>ETAR Loriga</t>
        </is>
      </c>
      <c r="D50" s="14" t="inlineStr">
        <is>
          <t>Designação de cadastro</t>
        </is>
      </c>
    </row>
    <row r="51"/>
    <row r="52">
      <c r="B52" s="17" t="inlineStr">
        <is>
          <t>Centro de Custo da Instalação</t>
        </is>
      </c>
      <c r="C52" s="18" t="inlineStr">
        <is>
          <t>CO do Oeste</t>
        </is>
      </c>
      <c r="D52" s="12" t="n"/>
    </row>
    <row r="53">
      <c r="B53" s="43" t="n"/>
      <c r="C53" s="44" t="n"/>
      <c r="D53" s="12" t="n"/>
    </row>
    <row r="54">
      <c r="D54" s="12" t="n"/>
    </row>
    <row r="55">
      <c r="D55" s="12" t="n"/>
    </row>
    <row r="56">
      <c r="C56" s="12" t="n"/>
      <c r="D56" s="12" t="n"/>
    </row>
    <row r="57">
      <c r="C57" s="12" t="n"/>
    </row>
  </sheetData>
  <mergeCells count="1">
    <mergeCell ref="B53:C53"/>
  </mergeCells>
  <dataValidations count="7">
    <dataValidation sqref="C18" showDropDown="0" showInputMessage="1" showErrorMessage="1" allowBlank="1" type="list">
      <formula1>"Primário, Secundário, Terciário, Avançado"</formula1>
    </dataValidation>
    <dataValidation sqref="C48" showDropDown="0" showInputMessage="1" showErrorMessage="1" allowBlank="1" type="list">
      <formula1>"Domésticas, Urbanas, Industriais, Agropecuárias, Outras"</formula1>
    </dataValidation>
    <dataValidation sqref="C28" showDropDown="0" showInputMessage="1" showErrorMessage="1" allowBlank="1" type="list">
      <formula1>"Rio, Ribeira, Ribeiro, Barranco, Albufeira, Lagoa, Estuário, Águas Costeiras, Solo"</formula1>
    </dataValidation>
    <dataValidation sqref="C30" showDropDown="0" showInputMessage="1" showErrorMessage="1" allowBlank="1" type="list">
      <formula1>"Margem, Margem direita, Margem esquerda, Plano de água"</formula1>
    </dataValidation>
    <dataValidation sqref="C31" showDropDown="0" showInputMessage="1" showErrorMessage="1" allowBlank="1" type="list">
      <formula1>"Coletor com obra de proteção (boca de lobo), Coletor sem obra de proteção, Emissário submarino, Órgão de infiltração, Vala, Outro"</formula1>
    </dataValidation>
    <dataValidation sqref="C24" showDropDown="0" showInputMessage="1" showErrorMessage="1" allowBlank="1" type="list">
      <formula1>"Sim, Não"</formula1>
    </dataValidation>
    <dataValidation sqref="C25" showDropDown="0" showInputMessage="1" showErrorMessage="1" allowBlank="1" type="list">
      <formula1>"Fundo Ambiental, Fundo comunitário para a agricultura, Fundo comunitário para o setor urbano"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6"/>
  <sheetViews>
    <sheetView showGridLines="0" workbookViewId="0">
      <selection activeCell="H16" sqref="H16"/>
    </sheetView>
  </sheetViews>
  <sheetFormatPr baseColWidth="8" defaultColWidth="8.85546875" defaultRowHeight="18"/>
  <cols>
    <col width="2" customWidth="1" style="1" min="1" max="1"/>
    <col width="8.85546875" customWidth="1" style="2" min="2" max="6"/>
    <col width="11.140625" customWidth="1" style="2" min="7" max="7"/>
    <col width="8.85546875" customWidth="1" style="1" min="8" max="16384"/>
  </cols>
  <sheetData>
    <row r="1" ht="3.6" customHeight="1"/>
    <row r="2">
      <c r="B2" s="10">
        <f>IF('Inf para requerimento'!C10="","",'Inf para requerimento'!C10)</f>
        <v/>
      </c>
      <c r="C2" s="11" t="n"/>
      <c r="D2" s="11" t="n"/>
      <c r="E2" s="11" t="n"/>
      <c r="F2" s="11" t="n"/>
      <c r="G2" s="11" t="n"/>
    </row>
    <row r="3" ht="9.6" customHeight="1"/>
    <row r="4" ht="24.6" customHeight="1">
      <c r="B4" s="42" t="inlineStr">
        <is>
          <t>População equivalente (e.p. / ano)</t>
        </is>
      </c>
      <c r="G4" s="7" t="inlineStr">
        <is>
          <t>Média últimos 5 anos</t>
        </is>
      </c>
    </row>
    <row r="5">
      <c r="B5" s="6" t="n">
        <v>2020</v>
      </c>
      <c r="C5" s="6" t="n">
        <v>2021</v>
      </c>
      <c r="D5" s="6" t="n">
        <v>2022</v>
      </c>
      <c r="E5" s="6" t="n">
        <v>2023</v>
      </c>
      <c r="F5" s="6" t="n">
        <v>2024</v>
      </c>
      <c r="G5" s="8">
        <f>CONCATENATE(B5,"-",F5)</f>
        <v/>
      </c>
    </row>
    <row r="6" ht="19.15" customHeight="1">
      <c r="B6" s="5" t="n"/>
      <c r="C6" s="5" t="n"/>
      <c r="D6" s="5" t="n"/>
      <c r="E6" s="5" t="n"/>
      <c r="F6" s="5" t="n"/>
      <c r="G6" s="9">
        <f>IFERROR(AVERAGE(B6:F6),"")</f>
        <v/>
      </c>
    </row>
  </sheetData>
  <mergeCells count="1">
    <mergeCell ref="B4:F4"/>
  </mergeCells>
  <conditionalFormatting sqref="G6">
    <cfRule type="cellIs" priority="1" operator="greaterThan">
      <formula>1000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Catarina Eusébio</dc:creator>
  <dcterms:created xmlns:dcterms="http://purl.org/dc/terms/" xmlns:xsi="http://www.w3.org/2001/XMLSchema-instance" xsi:type="dcterms:W3CDTF">2018-09-18T16:53:28Z</dcterms:created>
  <dcterms:modified xmlns:dcterms="http://purl.org/dc/terms/" xmlns:xsi="http://www.w3.org/2001/XMLSchema-instance" xsi:type="dcterms:W3CDTF">2026-07-28T10:41:14Z</dcterms:modified>
  <cp:lastModifiedBy>Ikrame TAGGAA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0x0101006B517C81AE903A418A7DAC2877A9923E</vt:lpwstr>
  </property>
  <property name="MediaServiceImageTags" fmtid="{D5CDD505-2E9C-101B-9397-08002B2CF9AE}" pid="3">
    <vt:lpwstr xmlns:vt="http://schemas.openxmlformats.org/officeDocument/2006/docPropsVTypes"/>
  </property>
</Properties>
</file>